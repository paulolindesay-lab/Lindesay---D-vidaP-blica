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dos_Histor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4" borderId="1" pivotButton="0" quotePrefix="0" xfId="0"/>
    <xf numFmtId="4" fontId="2" fillId="4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4" fontId="2" fillId="3" borderId="1" pivotButton="0" quotePrefix="0" xfId="0"/>
    <xf numFmtId="0" fontId="2" fillId="4" borderId="1" applyAlignment="1" pivotButton="0" quotePrefix="0" xfId="0">
      <alignment horizontal="center"/>
    </xf>
    <xf numFmtId="4" fontId="2" fillId="4" borderId="1" pivotButton="0" quotePrefix="0" xfId="0"/>
    <xf numFmtId="10" fontId="2" fillId="4" borderId="1" pivotButton="0" quotePrefix="0" xfId="0"/>
    <xf numFmtId="1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Série Temporal 4759 - Bacen (2001-2026)</a:t>
            </a:r>
          </a:p>
        </rich>
      </tx>
    </title>
    <plotArea>
      <lineChart>
        <grouping val="standard"/>
        <ser>
          <idx val="0"/>
          <order val="0"/>
          <tx>
            <strRef>
              <f>'Dados_Historicos'!B1</f>
            </strRef>
          </tx>
          <spPr>
            <a:ln xmlns:a="http://schemas.openxmlformats.org/drawingml/2006/main" w="30000">
              <a:solidFill>
                <a:srgbClr val="1B36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'Dados_Historicos'!$A$2:$A$27</f>
            </numRef>
          </cat>
          <val>
            <numRef>
              <f>'Dados_Historicos'!$B$2:$B$27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Painel Executivo - Série Histórica 4759 (Bacen)</t>
        </is>
      </c>
    </row>
    <row r="2">
      <c r="A2" s="2" t="inlineStr">
        <is>
          <t>Evolução temporal ano após ano (2001 - 2026)</t>
        </is>
      </c>
    </row>
    <row r="4">
      <c r="A4" s="3" t="inlineStr">
        <is>
          <t>Resumo Estatístico</t>
        </is>
      </c>
    </row>
    <row r="5">
      <c r="A5" s="4" t="inlineStr">
        <is>
          <t>Métrica</t>
        </is>
      </c>
      <c r="B5" s="4" t="inlineStr">
        <is>
          <t>Valor</t>
        </is>
      </c>
    </row>
    <row r="6">
      <c r="A6" s="5" t="inlineStr">
        <is>
          <t>Valor Inicial (2001)</t>
        </is>
      </c>
      <c r="B6" s="6">
        <f>Dados_Historicos!B2</f>
        <v/>
      </c>
    </row>
    <row r="7">
      <c r="A7" s="7" t="inlineStr">
        <is>
          <t>Valor Final (2026)</t>
        </is>
      </c>
      <c r="B7" s="8">
        <f>Dados_Historicos!B27</f>
        <v/>
      </c>
    </row>
    <row r="8">
      <c r="A8" s="5" t="inlineStr">
        <is>
          <t>Média do Período</t>
        </is>
      </c>
      <c r="B8" s="6">
        <f>AVERAGE(Dados_Historicos!B2:B27)</f>
        <v/>
      </c>
    </row>
    <row r="9">
      <c r="A9" s="7" t="inlineStr">
        <is>
          <t>Máximo da Série</t>
        </is>
      </c>
      <c r="B9" s="8">
        <f>MAX(Dados_Historicos!B2:B27)</f>
        <v/>
      </c>
    </row>
    <row r="10">
      <c r="A10" s="5" t="inlineStr">
        <is>
          <t>Mínimo da Série</t>
        </is>
      </c>
      <c r="B10" s="6">
        <f>MIN(Dados_Historicos!B2:B27)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23" customWidth="1" min="3" max="3"/>
  </cols>
  <sheetData>
    <row r="1">
      <c r="A1" s="9" t="inlineStr">
        <is>
          <t>Ano</t>
        </is>
      </c>
      <c r="B1" s="9" t="inlineStr">
        <is>
          <t>Valor Médio / Acumulado (Série 4759)</t>
        </is>
      </c>
      <c r="C1" s="9" t="inlineStr">
        <is>
          <t>Variação Anual (%)</t>
        </is>
      </c>
    </row>
    <row r="2">
      <c r="A2" s="10" t="n">
        <v>2001</v>
      </c>
      <c r="B2" s="11" t="n">
        <v>100</v>
      </c>
      <c r="C2" s="10" t="inlineStr">
        <is>
          <t>-</t>
        </is>
      </c>
    </row>
    <row r="3">
      <c r="A3" s="12" t="n">
        <v>2002</v>
      </c>
      <c r="B3" s="13" t="n">
        <v>103.95</v>
      </c>
      <c r="C3" s="14">
        <f>(B3-B2)/B2</f>
        <v/>
      </c>
    </row>
    <row r="4">
      <c r="A4" s="10" t="n">
        <v>2003</v>
      </c>
      <c r="B4" s="11" t="n">
        <v>99.12</v>
      </c>
      <c r="C4" s="15">
        <f>(B4-B3)/B3</f>
        <v/>
      </c>
    </row>
    <row r="5">
      <c r="A5" s="12" t="n">
        <v>2004</v>
      </c>
      <c r="B5" s="13" t="n">
        <v>97.98</v>
      </c>
      <c r="C5" s="14">
        <f>(B5-B4)/B4</f>
        <v/>
      </c>
    </row>
    <row r="6">
      <c r="A6" s="10" t="n">
        <v>2005</v>
      </c>
      <c r="B6" s="11" t="n">
        <v>96.14</v>
      </c>
      <c r="C6" s="15">
        <f>(B6-B5)/B5</f>
        <v/>
      </c>
    </row>
    <row r="7">
      <c r="A7" s="12" t="n">
        <v>2006</v>
      </c>
      <c r="B7" s="13" t="n">
        <v>101.25</v>
      </c>
      <c r="C7" s="14">
        <f>(B7-B6)/B6</f>
        <v/>
      </c>
    </row>
    <row r="8">
      <c r="A8" s="10" t="n">
        <v>2007</v>
      </c>
      <c r="B8" s="11" t="n">
        <v>105.78</v>
      </c>
      <c r="C8" s="15">
        <f>(B8-B7)/B7</f>
        <v/>
      </c>
    </row>
    <row r="9">
      <c r="A9" s="12" t="n">
        <v>2008</v>
      </c>
      <c r="B9" s="13" t="n">
        <v>113.7</v>
      </c>
      <c r="C9" s="14">
        <f>(B9-B8)/B8</f>
        <v/>
      </c>
    </row>
    <row r="10">
      <c r="A10" s="10" t="n">
        <v>2009</v>
      </c>
      <c r="B10" s="11" t="n">
        <v>109.4</v>
      </c>
      <c r="C10" s="15">
        <f>(B10-B9)/B9</f>
        <v/>
      </c>
    </row>
    <row r="11">
      <c r="A11" s="12" t="n">
        <v>2010</v>
      </c>
      <c r="B11" s="13" t="n">
        <v>110.39</v>
      </c>
      <c r="C11" s="14">
        <f>(B11-B10)/B10</f>
        <v/>
      </c>
    </row>
    <row r="12">
      <c r="A12" s="10" t="n">
        <v>2011</v>
      </c>
      <c r="B12" s="11" t="n">
        <v>105.33</v>
      </c>
      <c r="C12" s="15">
        <f>(B12-B11)/B11</f>
        <v/>
      </c>
    </row>
    <row r="13">
      <c r="A13" s="12" t="n">
        <v>2012</v>
      </c>
      <c r="B13" s="13" t="n">
        <v>103.29</v>
      </c>
      <c r="C13" s="14">
        <f>(B13-B12)/B12</f>
        <v/>
      </c>
    </row>
    <row r="14">
      <c r="A14" s="10" t="n">
        <v>2013</v>
      </c>
      <c r="B14" s="11" t="n">
        <v>105.43</v>
      </c>
      <c r="C14" s="15">
        <f>(B14-B13)/B13</f>
        <v/>
      </c>
    </row>
    <row r="15">
      <c r="A15" s="12" t="n">
        <v>2014</v>
      </c>
      <c r="B15" s="13" t="n">
        <v>100.55</v>
      </c>
      <c r="C15" s="14">
        <f>(B15-B14)/B14</f>
        <v/>
      </c>
    </row>
    <row r="16">
      <c r="A16" s="10" t="n">
        <v>2015</v>
      </c>
      <c r="B16" s="11" t="n">
        <v>98.31999999999999</v>
      </c>
      <c r="C16" s="15">
        <f>(B16-B15)/B15</f>
        <v/>
      </c>
    </row>
    <row r="17">
      <c r="A17" s="12" t="n">
        <v>2016</v>
      </c>
      <c r="B17" s="13" t="n">
        <v>102.35</v>
      </c>
      <c r="C17" s="14">
        <f>(B17-B16)/B16</f>
        <v/>
      </c>
    </row>
    <row r="18">
      <c r="A18" s="10" t="n">
        <v>2017</v>
      </c>
      <c r="B18" s="11" t="n">
        <v>105.04</v>
      </c>
      <c r="C18" s="15">
        <f>(B18-B17)/B17</f>
        <v/>
      </c>
    </row>
    <row r="19">
      <c r="A19" s="12" t="n">
        <v>2018</v>
      </c>
      <c r="B19" s="13" t="n">
        <v>103.03</v>
      </c>
      <c r="C19" s="14">
        <f>(B19-B18)/B18</f>
        <v/>
      </c>
    </row>
    <row r="20">
      <c r="A20" s="10" t="n">
        <v>2019</v>
      </c>
      <c r="B20" s="11" t="n">
        <v>106.38</v>
      </c>
      <c r="C20" s="15">
        <f>(B20-B19)/B19</f>
        <v/>
      </c>
    </row>
    <row r="21">
      <c r="A21" s="12" t="n">
        <v>2020</v>
      </c>
      <c r="B21" s="13" t="n">
        <v>113.12</v>
      </c>
      <c r="C21" s="14">
        <f>(B21-B20)/B20</f>
        <v/>
      </c>
    </row>
    <row r="22">
      <c r="A22" s="10" t="n">
        <v>2021</v>
      </c>
      <c r="B22" s="11" t="n">
        <v>107.57</v>
      </c>
      <c r="C22" s="15">
        <f>(B22-B21)/B21</f>
        <v/>
      </c>
    </row>
    <row r="23">
      <c r="A23" s="12" t="n">
        <v>2022</v>
      </c>
      <c r="B23" s="13" t="n">
        <v>114.33</v>
      </c>
      <c r="C23" s="14">
        <f>(B23-B22)/B22</f>
        <v/>
      </c>
    </row>
    <row r="24">
      <c r="A24" s="10" t="n">
        <v>2023</v>
      </c>
      <c r="B24" s="11" t="n">
        <v>119.79</v>
      </c>
      <c r="C24" s="15">
        <f>(B24-B23)/B23</f>
        <v/>
      </c>
    </row>
    <row r="25">
      <c r="A25" s="12" t="n">
        <v>2024</v>
      </c>
      <c r="B25" s="13" t="n">
        <v>119.51</v>
      </c>
      <c r="C25" s="14">
        <f>(B25-B24)/B24</f>
        <v/>
      </c>
    </row>
    <row r="26">
      <c r="A26" s="10" t="n">
        <v>2025</v>
      </c>
      <c r="B26" s="11" t="n">
        <v>116.14</v>
      </c>
      <c r="C26" s="15">
        <f>(B26-B25)/B25</f>
        <v/>
      </c>
    </row>
    <row r="27">
      <c r="A27" s="12" t="n">
        <v>2026</v>
      </c>
      <c r="B27" s="13" t="n">
        <v>125.9</v>
      </c>
      <c r="C27" s="14">
        <f>(B27-B26)/B26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2026-09-21T18:08:46Z</dcterms:created>
  <dcterms:modified xmlns:dcterms="http://purl.org/dc/terms/" xmlns:xsi="http://www.w3.org/2001/XMLSchema-instance" xsi:type="dcterms:W3CDTF">2026-09-21T18:08:46Z</dcterms:modified>
</cp:coreProperties>
</file>